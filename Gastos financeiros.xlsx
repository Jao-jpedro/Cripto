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SPJ\Documents\Pessoal\"/>
    </mc:Choice>
  </mc:AlternateContent>
  <xr:revisionPtr revIDLastSave="0" documentId="13_ncr:1_{C1FF796A-5E0F-4DB5-911C-863EE634F42A}" xr6:coauthVersionLast="47" xr6:coauthVersionMax="47" xr10:uidLastSave="{00000000-0000-0000-0000-000000000000}"/>
  <bookViews>
    <workbookView xWindow="28680" yWindow="-120" windowWidth="24240" windowHeight="13140" xr2:uid="{DBFBA4CD-89F1-459D-B219-60E01E8C2E2E}"/>
  </bookViews>
  <sheets>
    <sheet name="Planilha1" sheetId="1" r:id="rId1"/>
  </sheets>
  <definedNames>
    <definedName name="_xlnm._FilterDatabase" localSheetId="0" hidden="1">Planilha1!$L$2:$R$2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P9" i="1"/>
  <c r="O9" i="1"/>
  <c r="R8" i="1"/>
  <c r="Q8" i="1"/>
  <c r="P8" i="1"/>
  <c r="O8" i="1"/>
  <c r="N9" i="1"/>
  <c r="N8" i="1"/>
  <c r="N6" i="1"/>
  <c r="O6" i="1"/>
  <c r="P6" i="1"/>
  <c r="Q6" i="1"/>
  <c r="R6" i="1"/>
  <c r="N5" i="1"/>
  <c r="O5" i="1"/>
  <c r="P5" i="1"/>
  <c r="Q5" i="1"/>
  <c r="R5" i="1"/>
  <c r="N3" i="1"/>
  <c r="O3" i="1"/>
  <c r="P3" i="1"/>
  <c r="Q3" i="1"/>
  <c r="R3" i="1"/>
  <c r="O4" i="1"/>
  <c r="P4" i="1"/>
  <c r="Q4" i="1"/>
  <c r="R4" i="1"/>
  <c r="N4" i="1"/>
  <c r="E1" i="1"/>
  <c r="F1" i="1"/>
  <c r="G1" i="1"/>
  <c r="H1" i="1"/>
  <c r="D1" i="1"/>
</calcChain>
</file>

<file path=xl/sharedStrings.xml><?xml version="1.0" encoding="utf-8"?>
<sst xmlns="http://schemas.openxmlformats.org/spreadsheetml/2006/main" count="73" uniqueCount="34">
  <si>
    <t>Aug</t>
  </si>
  <si>
    <t>Sep</t>
  </si>
  <si>
    <t>Oct</t>
  </si>
  <si>
    <t>Nov</t>
  </si>
  <si>
    <t>Dec</t>
  </si>
  <si>
    <t>Presente mãe</t>
  </si>
  <si>
    <t>Sapatenis</t>
  </si>
  <si>
    <t>Buckman</t>
  </si>
  <si>
    <t>Guarda-roupa</t>
  </si>
  <si>
    <t>Passagem</t>
  </si>
  <si>
    <t>Maquina de lavar</t>
  </si>
  <si>
    <t>Cama</t>
  </si>
  <si>
    <t>Óculos</t>
  </si>
  <si>
    <t>decathlon</t>
  </si>
  <si>
    <t>Oakley</t>
  </si>
  <si>
    <t>Claro</t>
  </si>
  <si>
    <t>Gasto</t>
  </si>
  <si>
    <t>Spotfy</t>
  </si>
  <si>
    <t>Apple - Arm</t>
  </si>
  <si>
    <t>Apple</t>
  </si>
  <si>
    <t>Netflix</t>
  </si>
  <si>
    <t>Inter</t>
  </si>
  <si>
    <t>Cartão</t>
  </si>
  <si>
    <t>Seguro Cartão</t>
  </si>
  <si>
    <t>Amazon</t>
  </si>
  <si>
    <t>Bradesco</t>
  </si>
  <si>
    <t>Concerto Gol</t>
  </si>
  <si>
    <t>Anuidade</t>
  </si>
  <si>
    <t>92,83</t>
  </si>
  <si>
    <t>Seguro Bradesco</t>
  </si>
  <si>
    <t>Dia 30</t>
  </si>
  <si>
    <t>Dia 15</t>
  </si>
  <si>
    <t>Mãe</t>
  </si>
  <si>
    <t>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</si>
</sst>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5" fontId="0" fillId="0" borderId="0" xfId="2" applyNumberFormat="1" applyFont="1"/>
    <xf numFmtId="44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E3CC-8F83-46B3-89DF-A9DDE8D3105F}">
  <dimension ref="B1:R24"/>
  <sheetViews>
    <sheetView tabSelected="1" workbookViewId="0">
      <selection activeCell="N5" sqref="N5"/>
    </sheetView>
  </sheetViews>
  <sheetFormatPr defaultRowHeight="14.5" x14ac:dyDescent="0.35"/>
  <cols>
    <col min="2" max="2" width="14.81640625" bestFit="1" customWidth="1"/>
    <col min="3" max="3" width="15.453125" bestFit="1" customWidth="1"/>
    <col min="14" max="18" width="10.08984375" bestFit="1" customWidth="1"/>
  </cols>
  <sheetData>
    <row r="1" spans="2:18" x14ac:dyDescent="0.35">
      <c r="D1">
        <f>SUM(D3:D1048576)</f>
        <v>2895.79</v>
      </c>
      <c r="E1">
        <f t="shared" ref="E1:H1" si="0">SUM(E3:E1048576)</f>
        <v>2310.79</v>
      </c>
      <c r="F1">
        <f t="shared" si="0"/>
        <v>2310.79</v>
      </c>
      <c r="G1">
        <f t="shared" si="0"/>
        <v>2001.97</v>
      </c>
      <c r="H1">
        <f t="shared" si="0"/>
        <v>1547.66</v>
      </c>
    </row>
    <row r="2" spans="2:18" x14ac:dyDescent="0.35">
      <c r="B2" t="s">
        <v>22</v>
      </c>
      <c r="C2" t="s">
        <v>16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L2" t="s">
        <v>33</v>
      </c>
      <c r="M2" t="s">
        <v>22</v>
      </c>
      <c r="N2" t="s">
        <v>0</v>
      </c>
      <c r="O2" t="s">
        <v>1</v>
      </c>
      <c r="P2" t="s">
        <v>2</v>
      </c>
      <c r="Q2" t="s">
        <v>3</v>
      </c>
      <c r="R2" t="s">
        <v>4</v>
      </c>
    </row>
    <row r="3" spans="2:18" x14ac:dyDescent="0.35">
      <c r="B3" t="s">
        <v>25</v>
      </c>
      <c r="C3" t="s">
        <v>5</v>
      </c>
      <c r="D3" s="1">
        <v>98.79</v>
      </c>
      <c r="E3" s="1">
        <v>98.79</v>
      </c>
      <c r="F3" s="1">
        <v>98.79</v>
      </c>
      <c r="G3" s="1">
        <v>98.79</v>
      </c>
      <c r="H3" s="1">
        <v>98.79</v>
      </c>
      <c r="L3" t="s">
        <v>31</v>
      </c>
      <c r="M3" t="s">
        <v>15</v>
      </c>
      <c r="N3" s="2">
        <f>SUMIFS(D:D,$B:$B,$M3)</f>
        <v>370</v>
      </c>
      <c r="O3" s="2">
        <f>SUMIFS(E:E,$B:$B,$M3)</f>
        <v>370</v>
      </c>
      <c r="P3" s="2">
        <f>SUMIFS(F:F,$B:$B,$M3)</f>
        <v>370</v>
      </c>
      <c r="Q3" s="2">
        <f>SUMIFS(G:G,$B:$B,$M3)</f>
        <v>370</v>
      </c>
      <c r="R3" s="2">
        <f>SUMIFS(H:H,$B:$B,$M3)</f>
        <v>370</v>
      </c>
    </row>
    <row r="4" spans="2:18" x14ac:dyDescent="0.35">
      <c r="B4" t="s">
        <v>25</v>
      </c>
      <c r="C4" t="s">
        <v>6</v>
      </c>
      <c r="D4">
        <v>98.2</v>
      </c>
      <c r="E4">
        <v>98.2</v>
      </c>
      <c r="F4">
        <v>98.2</v>
      </c>
      <c r="G4">
        <v>98.2</v>
      </c>
      <c r="H4">
        <v>98.2</v>
      </c>
      <c r="L4" t="s">
        <v>30</v>
      </c>
      <c r="M4" t="s">
        <v>25</v>
      </c>
      <c r="N4" s="2">
        <f>SUMIFS(D:D,$B:$B,$M4)</f>
        <v>1538.7</v>
      </c>
      <c r="O4" s="2">
        <f>SUMIFS(E:E,$B:$B,$M4)</f>
        <v>1335.8</v>
      </c>
      <c r="P4" s="2">
        <f>SUMIFS(F:F,$B:$B,$M4)</f>
        <v>1335.8</v>
      </c>
      <c r="Q4" s="2">
        <f>SUMIFS(G:G,$B:$B,$M4)</f>
        <v>1335.8</v>
      </c>
      <c r="R4" s="2">
        <f>SUMIFS(H:H,$B:$B,$M4)</f>
        <v>881.49</v>
      </c>
    </row>
    <row r="5" spans="2:18" x14ac:dyDescent="0.35">
      <c r="B5" t="s">
        <v>25</v>
      </c>
      <c r="C5" t="s">
        <v>7</v>
      </c>
      <c r="D5">
        <v>314.52</v>
      </c>
      <c r="E5">
        <v>314.52</v>
      </c>
      <c r="F5">
        <v>314.52</v>
      </c>
      <c r="G5">
        <v>314.52</v>
      </c>
      <c r="H5">
        <v>314.52</v>
      </c>
      <c r="L5" t="s">
        <v>30</v>
      </c>
      <c r="M5" t="s">
        <v>21</v>
      </c>
      <c r="N5" s="2">
        <f>SUMIFS(D:D,$B:$B,$M5)</f>
        <v>857.0899999999998</v>
      </c>
      <c r="O5" s="2">
        <f>SUMIFS(E:E,$B:$B,$M5)</f>
        <v>474.99</v>
      </c>
      <c r="P5" s="2">
        <f>SUMIFS(F:F,$B:$B,$M5)</f>
        <v>474.99</v>
      </c>
      <c r="Q5" s="2">
        <f>SUMIFS(G:G,$B:$B,$M5)</f>
        <v>166.17</v>
      </c>
      <c r="R5" s="2">
        <f>SUMIFS(H:H,$B:$B,$M5)</f>
        <v>166.17</v>
      </c>
    </row>
    <row r="6" spans="2:18" x14ac:dyDescent="0.35">
      <c r="B6" t="s">
        <v>25</v>
      </c>
      <c r="C6" t="s">
        <v>8</v>
      </c>
      <c r="D6">
        <v>109.99</v>
      </c>
      <c r="E6">
        <v>109.99</v>
      </c>
      <c r="F6">
        <v>109.99</v>
      </c>
      <c r="G6">
        <v>109.99</v>
      </c>
      <c r="H6">
        <v>109.99</v>
      </c>
      <c r="L6" t="s">
        <v>30</v>
      </c>
      <c r="M6" t="s">
        <v>32</v>
      </c>
      <c r="N6" s="2">
        <f>SUMIFS(D:D,$B:$B,$M6)</f>
        <v>130</v>
      </c>
      <c r="O6" s="2">
        <f>SUMIFS(E:E,$B:$B,$M6)</f>
        <v>130</v>
      </c>
      <c r="P6" s="2">
        <f>SUMIFS(F:F,$B:$B,$M6)</f>
        <v>130</v>
      </c>
      <c r="Q6" s="2">
        <f>SUMIFS(G:G,$B:$B,$M6)</f>
        <v>130</v>
      </c>
      <c r="R6" s="2">
        <f>SUMIFS(H:H,$B:$B,$M6)</f>
        <v>130</v>
      </c>
    </row>
    <row r="7" spans="2:18" x14ac:dyDescent="0.35">
      <c r="B7" t="s">
        <v>25</v>
      </c>
      <c r="C7" t="s">
        <v>9</v>
      </c>
      <c r="D7">
        <v>221.59</v>
      </c>
      <c r="E7">
        <v>221.59</v>
      </c>
      <c r="F7">
        <v>221.59</v>
      </c>
      <c r="G7">
        <v>221.59</v>
      </c>
      <c r="N7" s="2"/>
      <c r="O7" s="2"/>
      <c r="P7" s="2"/>
      <c r="Q7" s="2"/>
      <c r="R7" s="2"/>
    </row>
    <row r="8" spans="2:18" x14ac:dyDescent="0.35">
      <c r="B8" t="s">
        <v>25</v>
      </c>
      <c r="C8" t="s">
        <v>9</v>
      </c>
      <c r="D8">
        <v>232.72</v>
      </c>
      <c r="E8">
        <v>232.72</v>
      </c>
      <c r="F8">
        <v>232.72</v>
      </c>
      <c r="G8">
        <v>232.72</v>
      </c>
      <c r="M8" t="s">
        <v>31</v>
      </c>
      <c r="N8" s="2">
        <f>N3</f>
        <v>370</v>
      </c>
      <c r="O8" s="2">
        <f t="shared" ref="O8:R8" si="1">O3</f>
        <v>370</v>
      </c>
      <c r="P8" s="2">
        <f t="shared" si="1"/>
        <v>370</v>
      </c>
      <c r="Q8" s="2">
        <f t="shared" si="1"/>
        <v>370</v>
      </c>
      <c r="R8" s="2">
        <f t="shared" si="1"/>
        <v>370</v>
      </c>
    </row>
    <row r="9" spans="2:18" x14ac:dyDescent="0.35">
      <c r="B9" t="s">
        <v>25</v>
      </c>
      <c r="C9" t="s">
        <v>10</v>
      </c>
      <c r="D9">
        <v>202.9</v>
      </c>
      <c r="M9" t="s">
        <v>30</v>
      </c>
      <c r="N9" s="2">
        <f>SUM(N4:N6)</f>
        <v>2525.79</v>
      </c>
      <c r="O9" s="2">
        <f t="shared" ref="O9:R9" si="2">SUM(O4:O6)</f>
        <v>1940.79</v>
      </c>
      <c r="P9" s="2">
        <f t="shared" si="2"/>
        <v>1940.79</v>
      </c>
      <c r="Q9" s="2">
        <f t="shared" si="2"/>
        <v>1631.97</v>
      </c>
      <c r="R9" s="2">
        <f t="shared" si="2"/>
        <v>1177.6600000000001</v>
      </c>
    </row>
    <row r="10" spans="2:18" x14ac:dyDescent="0.35">
      <c r="B10" t="s">
        <v>21</v>
      </c>
      <c r="C10" t="s">
        <v>11</v>
      </c>
      <c r="D10">
        <v>250</v>
      </c>
    </row>
    <row r="11" spans="2:18" x14ac:dyDescent="0.35">
      <c r="B11" t="s">
        <v>21</v>
      </c>
      <c r="C11" t="s">
        <v>12</v>
      </c>
      <c r="D11">
        <v>224</v>
      </c>
      <c r="E11">
        <v>224</v>
      </c>
      <c r="F11">
        <v>224</v>
      </c>
    </row>
    <row r="12" spans="2:18" x14ac:dyDescent="0.35">
      <c r="B12" t="s">
        <v>21</v>
      </c>
      <c r="C12" t="s">
        <v>13</v>
      </c>
      <c r="D12">
        <v>84.82</v>
      </c>
      <c r="E12">
        <v>84.82</v>
      </c>
      <c r="F12">
        <v>84.82</v>
      </c>
      <c r="N12" s="3"/>
    </row>
    <row r="13" spans="2:18" x14ac:dyDescent="0.35">
      <c r="B13" t="s">
        <v>21</v>
      </c>
      <c r="C13" t="s">
        <v>14</v>
      </c>
      <c r="D13">
        <v>166.17</v>
      </c>
      <c r="E13">
        <v>166.17</v>
      </c>
      <c r="F13">
        <v>166.17</v>
      </c>
      <c r="G13">
        <v>166.17</v>
      </c>
      <c r="H13">
        <v>166.17</v>
      </c>
    </row>
    <row r="14" spans="2:18" x14ac:dyDescent="0.35">
      <c r="B14" t="s">
        <v>15</v>
      </c>
      <c r="C14" t="s">
        <v>15</v>
      </c>
      <c r="D14">
        <v>370</v>
      </c>
      <c r="E14">
        <v>370</v>
      </c>
      <c r="F14">
        <v>370</v>
      </c>
      <c r="G14">
        <v>370</v>
      </c>
      <c r="H14">
        <v>370</v>
      </c>
    </row>
    <row r="15" spans="2:18" x14ac:dyDescent="0.35">
      <c r="B15" t="s">
        <v>21</v>
      </c>
      <c r="C15" t="s">
        <v>17</v>
      </c>
      <c r="D15">
        <v>21.9</v>
      </c>
    </row>
    <row r="16" spans="2:18" x14ac:dyDescent="0.35">
      <c r="B16" t="s">
        <v>21</v>
      </c>
      <c r="C16" t="s">
        <v>18</v>
      </c>
      <c r="D16">
        <v>14.9</v>
      </c>
    </row>
    <row r="17" spans="2:8" x14ac:dyDescent="0.35">
      <c r="B17" t="s">
        <v>21</v>
      </c>
      <c r="C17" t="s">
        <v>19</v>
      </c>
      <c r="D17">
        <v>25.9</v>
      </c>
    </row>
    <row r="18" spans="2:8" x14ac:dyDescent="0.35">
      <c r="B18" t="s">
        <v>21</v>
      </c>
      <c r="C18" t="s">
        <v>20</v>
      </c>
      <c r="D18">
        <v>59.9</v>
      </c>
    </row>
    <row r="19" spans="2:8" x14ac:dyDescent="0.35">
      <c r="B19" t="s">
        <v>21</v>
      </c>
      <c r="C19" t="s">
        <v>23</v>
      </c>
      <c r="D19">
        <v>9.5</v>
      </c>
    </row>
    <row r="20" spans="2:8" x14ac:dyDescent="0.35">
      <c r="B20" t="s">
        <v>25</v>
      </c>
      <c r="C20" t="s">
        <v>24</v>
      </c>
    </row>
    <row r="21" spans="2:8" x14ac:dyDescent="0.35">
      <c r="B21" t="s">
        <v>25</v>
      </c>
      <c r="C21" t="s">
        <v>26</v>
      </c>
      <c r="D21">
        <v>250</v>
      </c>
      <c r="E21">
        <v>250</v>
      </c>
      <c r="F21">
        <v>250</v>
      </c>
      <c r="G21">
        <v>250</v>
      </c>
      <c r="H21">
        <v>250</v>
      </c>
    </row>
    <row r="22" spans="2:8" x14ac:dyDescent="0.35">
      <c r="B22" t="s">
        <v>25</v>
      </c>
      <c r="C22" t="s">
        <v>27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</row>
    <row r="23" spans="2:8" x14ac:dyDescent="0.35">
      <c r="B23" t="s">
        <v>25</v>
      </c>
      <c r="C23" t="s">
        <v>29</v>
      </c>
      <c r="D23">
        <v>9.99</v>
      </c>
      <c r="E23">
        <v>9.99</v>
      </c>
      <c r="F23">
        <v>9.99</v>
      </c>
      <c r="G23">
        <v>9.99</v>
      </c>
      <c r="H23">
        <v>9.99</v>
      </c>
    </row>
    <row r="24" spans="2:8" x14ac:dyDescent="0.35">
      <c r="B24" t="s">
        <v>32</v>
      </c>
      <c r="C24" t="s">
        <v>32</v>
      </c>
      <c r="D24">
        <v>130</v>
      </c>
      <c r="E24">
        <v>130</v>
      </c>
      <c r="F24">
        <v>130</v>
      </c>
      <c r="G24">
        <v>130</v>
      </c>
      <c r="H24">
        <v>130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590e1b2-66ea-4d45-b1aa-185c322e3ba5}" enabled="1" method="Standard" siteId="{40a64d0b-f2f9-4a34-b1b3-0992ac0e5e4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Louis Dreyfus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 De Carvalho Reis</dc:creator>
  <cp:lastModifiedBy>Joao Pedro De Carvalho Reis</cp:lastModifiedBy>
  <dcterms:created xsi:type="dcterms:W3CDTF">2024-07-03T16:50:44Z</dcterms:created>
  <dcterms:modified xsi:type="dcterms:W3CDTF">2024-07-16T20:43:38Z</dcterms:modified>
</cp:coreProperties>
</file>